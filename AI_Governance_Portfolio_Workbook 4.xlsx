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I Inventory" sheetId="2" state="visible" r:id="rId2"/>
    <sheet xmlns:r="http://schemas.openxmlformats.org/officeDocument/2006/relationships" name="AI Risk Register" sheetId="3" state="visible" r:id="rId3"/>
    <sheet xmlns:r="http://schemas.openxmlformats.org/officeDocument/2006/relationships" name="Gap Assessment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Framework Mapping" sheetId="6" state="visible" r:id="rId6"/>
  </sheets>
  <definedNames>
    <definedName name="_xlnm._FilterDatabase" localSheetId="1" hidden="1">'AI Inventory'!$A$1:$P$7</definedName>
    <definedName name="_xlnm._FilterDatabase" localSheetId="2" hidden="1">'AI Risk Register'!$A$1:$V$9</definedName>
    <definedName name="_xlnm._FilterDatabase" localSheetId="3" hidden="1">'Gap Assessment'!$A$1:$L$9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5">
    <font>
      <sz val="11"/>
      <color theme="1"/>
      <name val="Calibri"/>
      <family val="2"/>
      <scheme val="minor"/>
    </font>
    <font>
      <b val="1"/>
      <sz val="22"/>
      <color rgb="00FFFFFF"/>
    </font>
    <font>
      <b val="1"/>
      <sz val="12"/>
      <color rgb="0017365D"/>
    </font>
    <font>
      <b val="1"/>
      <color rgb="00FFFFFF"/>
    </font>
    <font>
      <color rgb="00595959"/>
    </font>
    <font>
      <color rgb="000000FF"/>
    </font>
    <font>
      <b val="1"/>
    </font>
    <font>
      <color rgb="00000000"/>
    </font>
    <font>
      <color rgb="00008000"/>
    </font>
    <font>
      <b val="1"/>
      <color rgb="00000000"/>
    </font>
    <font>
      <b val="1"/>
      <color rgb="0017365D"/>
    </font>
    <font>
      <sz val="12"/>
      <color theme="10"/>
      <name val="Calibri"/>
      <family val="2"/>
      <scheme val="minor"/>
    </font>
    <font>
      <i val="1"/>
      <color rgb="00595959"/>
    </font>
    <font>
      <b val="1"/>
      <sz val="24"/>
      <color rgb="0017365D"/>
    </font>
    <font>
      <b val="1"/>
      <sz val="14"/>
      <color rgb="0017365D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FFE699"/>
      </patternFill>
    </fill>
    <fill>
      <patternFill patternType="solid">
        <fgColor rgb="00F4B084"/>
      </patternFill>
    </fill>
    <fill>
      <patternFill patternType="solid">
        <fgColor rgb="00C6E0B4"/>
      </patternFill>
    </fill>
    <fill>
      <patternFill patternType="solid">
        <fgColor rgb="002F75B5"/>
      </patternFill>
    </fill>
    <fill>
      <patternFill patternType="solid">
        <fgColor rgb="00C00000"/>
      </patternFill>
    </fill>
    <fill>
      <patternFill patternType="solid">
        <fgColor rgb="00F4B183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3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2" fillId="0" borderId="0" pivotButton="0" quotePrefix="0" xfId="0"/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13" fillId="3" borderId="0" applyAlignment="1" pivotButton="0" quotePrefix="0" xfId="0">
      <alignment horizontal="center" vertical="center"/>
    </xf>
    <xf numFmtId="0" fontId="14" fillId="0" borderId="0" pivotButton="0" quotePrefix="0" xfId="0"/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1"/>
  </cellXfs>
  <cellStyles count="2">
    <cellStyle name="Normal" xfId="0" builtinId="0" hidden="0"/>
    <cellStyle name="Hyperlink" xfId="1" builtinId="8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F4B084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 Systems by Risk Tier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'Dashboard'!$A$11:$A$13</f>
            </numRef>
          </cat>
          <val>
            <numRef>
              <f>'Dashboard'!$B$11:$B$13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Systems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Governance Gaps by Priority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'Dashboard'!$D$11:$D$13</f>
            </numRef>
          </cat>
          <val>
            <numRef>
              <f>'Dashboard'!$E$11:$E$13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Residual Risk Ratings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'Dashboard'!H10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'Dashboard'!$G$11:$G$14</f>
            </numRef>
          </cat>
          <val>
            <numRef>
              <f>'Dashboard'!$H$11:$H$14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Treatment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'Dashboard'!K10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'Dashboard'!$J$11:$J$14</f>
            </numRef>
          </cat>
          <val>
            <numRef>
              <f>'Dashboard'!$K$11:$K$14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15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30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nist.gov/itl/ai-risk-management-framework" TargetMode="External" Id="rId1"/><Relationship Type="http://schemas.openxmlformats.org/officeDocument/2006/relationships/hyperlink" Target="https://www.iso.org/standard/81230.html" TargetMode="External" Id="rId2"/><Relationship Type="http://schemas.openxmlformats.org/officeDocument/2006/relationships/hyperlink" Target="https://artificialintelligenceact.eu/" TargetMode="External" Id="rId3"/><Relationship Type="http://schemas.openxmlformats.org/officeDocument/2006/relationships/hyperlink" Target="https://www.gov.uk/government/publications/ai-regulation-a-pro-innovation-approach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AI Inventory and Governance Assessment</t>
        </is>
      </c>
    </row>
    <row r="2"/>
    <row r="4">
      <c r="A4" s="2" t="inlineStr">
        <is>
          <t>Portfolio purpose</t>
        </is>
      </c>
    </row>
    <row r="5">
      <c r="A5" s="3" t="inlineStr">
        <is>
          <t>A practical demonstration of AI inventory management, risk categorisation, governance control assessment, gap analysis, and executive reporting.</t>
        </is>
      </c>
    </row>
    <row r="6"/>
    <row r="8">
      <c r="A8" s="2" t="inlineStr">
        <is>
          <t>Scope</t>
        </is>
      </c>
    </row>
    <row r="9">
      <c r="A9" s="3" t="inlineStr">
        <is>
          <t>Six illustrative AI systems used by a fictional mid-sized organisation. Replace the sample entries with verified organisational data before operational use.</t>
        </is>
      </c>
    </row>
    <row r="10"/>
    <row r="12">
      <c r="A12" s="2" t="inlineStr">
        <is>
          <t>Deliverables</t>
        </is>
      </c>
    </row>
    <row r="13">
      <c r="A13" s="3" t="inlineStr">
        <is>
          <t>1. AI Inventory Register
2. AI Risk Register
3. Governance Gap Assessment
4. Executive Summary Dashboard</t>
        </is>
      </c>
    </row>
    <row r="14"/>
    <row r="16">
      <c r="A16" s="2" t="inlineStr">
        <is>
          <t>Framework alignment</t>
        </is>
      </c>
    </row>
    <row r="17">
      <c r="A17" s="3" t="inlineStr">
        <is>
          <t>EU AI Act risk-based approach; ISO/IEC 42001 AI management system concepts; NIST AI RMF Govern, Map, Measure, Manage; UK principles of safety, transparency, fairness, accountability, and contestability.</t>
        </is>
      </c>
    </row>
    <row r="18"/>
    <row r="20">
      <c r="A20" s="2" t="inlineStr">
        <is>
          <t>How to use</t>
        </is>
      </c>
    </row>
    <row r="21">
      <c r="A21" s="3" t="inlineStr">
        <is>
          <t>Update blue-font input cells. Formula-driven scores and dashboard metrics update in Excel. Review risks monthly and whenever a system, data source, vendor, or use case materially changes.</t>
        </is>
      </c>
    </row>
    <row r="22"/>
    <row r="24">
      <c r="A24" s="2" t="inlineStr">
        <is>
          <t>Important note</t>
        </is>
      </c>
    </row>
    <row r="25">
      <c r="A25" s="3" t="inlineStr">
        <is>
          <t>All systems, ratings, owners, dates, and findings are synthetic portfolio examples, not verified facts about any real organisation.</t>
        </is>
      </c>
    </row>
    <row r="26"/>
  </sheetData>
  <mergeCells count="13">
    <mergeCell ref="A4:B4"/>
    <mergeCell ref="A17:H18"/>
    <mergeCell ref="A9:H10"/>
    <mergeCell ref="A13:H14"/>
    <mergeCell ref="A16:B16"/>
    <mergeCell ref="A20:B20"/>
    <mergeCell ref="A24:B24"/>
    <mergeCell ref="A25:H26"/>
    <mergeCell ref="A21:H22"/>
    <mergeCell ref="A1:H2"/>
    <mergeCell ref="A5:H6"/>
    <mergeCell ref="A8:B8"/>
    <mergeCell ref="A12:B12"/>
  </mergeCells>
  <pageMargins left="0.75" right="0.75" top="1" bottom="1" header="0.5" footer="0.5"/>
  <pageSetup orientation="landscape" fitToHeight="0" fitToWidth="1"/>
  <headerFooter>
    <oddHeader/>
    <oddFooter>&amp;CAI Governance Portfolio | Synthetic demonstration data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34" customWidth="1" min="3" max="3"/>
    <col width="24" customWidth="1" min="4" max="4"/>
    <col width="22" customWidth="1" min="5" max="5"/>
    <col width="34" customWidth="1" min="6" max="6"/>
    <col width="20" customWidth="1" min="7" max="7"/>
    <col width="24" customWidth="1" min="8" max="8"/>
    <col width="20" customWidth="1" min="9" max="9"/>
    <col width="16" customWidth="1" min="10" max="10"/>
    <col width="24" customWidth="1" min="11" max="11"/>
    <col width="16" customWidth="1" min="12" max="12"/>
    <col width="12" customWidth="1" min="13" max="13"/>
    <col width="14" customWidth="1" min="14" max="14"/>
    <col width="14" customWidth="1" min="15" max="15"/>
    <col width="40" customWidth="1" min="16" max="16"/>
  </cols>
  <sheetData>
    <row r="1" ht="35" customHeight="1">
      <c r="A1" s="4" t="inlineStr">
        <is>
          <t>System ID</t>
        </is>
      </c>
      <c r="B1" s="4" t="inlineStr">
        <is>
          <t>AI System</t>
        </is>
      </c>
      <c r="C1" s="4" t="inlineStr">
        <is>
          <t>Primary Purpose</t>
        </is>
      </c>
      <c r="D1" s="4" t="inlineStr">
        <is>
          <t>System Type</t>
        </is>
      </c>
      <c r="E1" s="4" t="inlineStr">
        <is>
          <t>Business Function</t>
        </is>
      </c>
      <c r="F1" s="4" t="inlineStr">
        <is>
          <t>Data Processed</t>
        </is>
      </c>
      <c r="G1" s="4" t="inlineStr">
        <is>
          <t>Vendor / Hosting</t>
        </is>
      </c>
      <c r="H1" s="4" t="inlineStr">
        <is>
          <t>Primary Owner</t>
        </is>
      </c>
      <c r="I1" s="4" t="inlineStr">
        <is>
          <t>Users</t>
        </is>
      </c>
      <c r="J1" s="4" t="inlineStr">
        <is>
          <t>Decision Impact</t>
        </is>
      </c>
      <c r="K1" s="4" t="inlineStr">
        <is>
          <t>Human Oversight</t>
        </is>
      </c>
      <c r="L1" s="4" t="inlineStr">
        <is>
          <t>Lifecycle Status</t>
        </is>
      </c>
      <c r="M1" s="4" t="inlineStr">
        <is>
          <t>Risk Tier</t>
        </is>
      </c>
      <c r="N1" s="4" t="inlineStr">
        <is>
          <t>Last Review</t>
        </is>
      </c>
      <c r="O1" s="4" t="inlineStr">
        <is>
          <t>Next Review</t>
        </is>
      </c>
      <c r="P1" s="4" t="inlineStr">
        <is>
          <t>Notes</t>
        </is>
      </c>
    </row>
    <row r="2" ht="48" customHeight="1">
      <c r="A2" s="5" t="inlineStr">
        <is>
          <t>AI-001</t>
        </is>
      </c>
      <c r="B2" s="6" t="inlineStr">
        <is>
          <t>Microsoft 365 Copilot</t>
        </is>
      </c>
      <c r="C2" s="6" t="inlineStr">
        <is>
          <t>Drafting, search and productivity support</t>
        </is>
      </c>
      <c r="D2" s="6" t="inlineStr">
        <is>
          <t>Generative AI assistant</t>
        </is>
      </c>
      <c r="E2" s="6" t="inlineStr">
        <is>
          <t>Corporate Services</t>
        </is>
      </c>
      <c r="F2" s="6" t="inlineStr">
        <is>
          <t>Email, documents, meeting content</t>
        </is>
      </c>
      <c r="G2" s="6" t="inlineStr">
        <is>
          <t>Cloud SaaS</t>
        </is>
      </c>
      <c r="H2" s="6" t="inlineStr">
        <is>
          <t>Digital Workplace Lead</t>
        </is>
      </c>
      <c r="I2" s="6" t="inlineStr">
        <is>
          <t>Employees</t>
        </is>
      </c>
      <c r="J2" s="6" t="inlineStr">
        <is>
          <t>Advisory</t>
        </is>
      </c>
      <c r="K2" s="6" t="inlineStr">
        <is>
          <t>Human reviews output</t>
        </is>
      </c>
      <c r="L2" s="6" t="inlineStr">
        <is>
          <t>Production</t>
        </is>
      </c>
      <c r="M2" s="7" t="inlineStr">
        <is>
          <t>Medium</t>
        </is>
      </c>
      <c r="N2" s="6" t="inlineStr">
        <is>
          <t>2026-07-15</t>
        </is>
      </c>
      <c r="O2" s="6" t="inlineStr">
        <is>
          <t>2026-10-15</t>
        </is>
      </c>
      <c r="P2" s="6" t="inlineStr">
        <is>
          <t>Use limited to approved tenant and business content.</t>
        </is>
      </c>
    </row>
    <row r="3" ht="48" customHeight="1">
      <c r="A3" s="5" t="inlineStr">
        <is>
          <t>AI-002</t>
        </is>
      </c>
      <c r="B3" s="6" t="inlineStr">
        <is>
          <t>Customer Support Chatbot</t>
        </is>
      </c>
      <c r="C3" s="6" t="inlineStr">
        <is>
          <t>Answer common customer questions</t>
        </is>
      </c>
      <c r="D3" s="6" t="inlineStr">
        <is>
          <t>Generative AI agent</t>
        </is>
      </c>
      <c r="E3" s="6" t="inlineStr">
        <is>
          <t>Customer Service</t>
        </is>
      </c>
      <c r="F3" s="6" t="inlineStr">
        <is>
          <t>Customer queries, help articles</t>
        </is>
      </c>
      <c r="G3" s="6" t="inlineStr">
        <is>
          <t>Cloud SaaS</t>
        </is>
      </c>
      <c r="H3" s="6" t="inlineStr">
        <is>
          <t>Customer Service Manager</t>
        </is>
      </c>
      <c r="I3" s="6" t="inlineStr">
        <is>
          <t>Customers and agents</t>
        </is>
      </c>
      <c r="J3" s="6" t="inlineStr">
        <is>
          <t>Advisory</t>
        </is>
      </c>
      <c r="K3" s="6" t="inlineStr">
        <is>
          <t>Agent escalation available</t>
        </is>
      </c>
      <c r="L3" s="6" t="inlineStr">
        <is>
          <t>Production</t>
        </is>
      </c>
      <c r="M3" s="7" t="inlineStr">
        <is>
          <t>Medium</t>
        </is>
      </c>
      <c r="N3" s="6" t="inlineStr">
        <is>
          <t>2026-07-20</t>
        </is>
      </c>
      <c r="O3" s="6" t="inlineStr">
        <is>
          <t>2026-10-20</t>
        </is>
      </c>
      <c r="P3" s="6" t="inlineStr">
        <is>
          <t>Knowledge base retrieval and escalation controls required.</t>
        </is>
      </c>
    </row>
    <row r="4" ht="48" customHeight="1">
      <c r="A4" s="5" t="inlineStr">
        <is>
          <t>AI-003</t>
        </is>
      </c>
      <c r="B4" s="6" t="inlineStr">
        <is>
          <t>Recruitment Screening Tool</t>
        </is>
      </c>
      <c r="C4" s="6" t="inlineStr">
        <is>
          <t>Rank job applications</t>
        </is>
      </c>
      <c r="D4" s="6" t="inlineStr">
        <is>
          <t>Predictive decision support</t>
        </is>
      </c>
      <c r="E4" s="6" t="inlineStr">
        <is>
          <t>Human Resources</t>
        </is>
      </c>
      <c r="F4" s="6" t="inlineStr">
        <is>
          <t>CVs, employment history, assessment data</t>
        </is>
      </c>
      <c r="G4" s="6" t="inlineStr">
        <is>
          <t>Cloud SaaS</t>
        </is>
      </c>
      <c r="H4" s="6" t="inlineStr">
        <is>
          <t>Head of Talent Acquisition</t>
        </is>
      </c>
      <c r="I4" s="6" t="inlineStr">
        <is>
          <t>Recruiters</t>
        </is>
      </c>
      <c r="J4" s="6" t="inlineStr">
        <is>
          <t>Material</t>
        </is>
      </c>
      <c r="K4" s="6" t="inlineStr">
        <is>
          <t>Human approves shortlist</t>
        </is>
      </c>
      <c r="L4" s="6" t="inlineStr">
        <is>
          <t>Pilot</t>
        </is>
      </c>
      <c r="M4" s="8" t="inlineStr">
        <is>
          <t>High</t>
        </is>
      </c>
      <c r="N4" s="6" t="inlineStr">
        <is>
          <t>2026-08-01</t>
        </is>
      </c>
      <c r="O4" s="6" t="inlineStr">
        <is>
          <t>2026-09-01</t>
        </is>
      </c>
      <c r="P4" s="6" t="inlineStr">
        <is>
          <t>High impact on employment opportunity.</t>
        </is>
      </c>
    </row>
    <row r="5" ht="48" customHeight="1">
      <c r="A5" s="5" t="inlineStr">
        <is>
          <t>AI-004</t>
        </is>
      </c>
      <c r="B5" s="6" t="inlineStr">
        <is>
          <t>Invoice Anomaly Detector</t>
        </is>
      </c>
      <c r="C5" s="6" t="inlineStr">
        <is>
          <t>Flag unusual invoices for review</t>
        </is>
      </c>
      <c r="D5" s="6" t="inlineStr">
        <is>
          <t>Machine learning classifier</t>
        </is>
      </c>
      <c r="E5" s="6" t="inlineStr">
        <is>
          <t>Finance</t>
        </is>
      </c>
      <c r="F5" s="6" t="inlineStr">
        <is>
          <t>Invoices, supplier records, payment history</t>
        </is>
      </c>
      <c r="G5" s="6" t="inlineStr">
        <is>
          <t>Private cloud</t>
        </is>
      </c>
      <c r="H5" s="6" t="inlineStr">
        <is>
          <t>Finance Operations Lead</t>
        </is>
      </c>
      <c r="I5" s="6" t="inlineStr">
        <is>
          <t>Finance analysts</t>
        </is>
      </c>
      <c r="J5" s="6" t="inlineStr">
        <is>
          <t>Advisory</t>
        </is>
      </c>
      <c r="K5" s="6" t="inlineStr">
        <is>
          <t>Analyst validates alert</t>
        </is>
      </c>
      <c r="L5" s="6" t="inlineStr">
        <is>
          <t>Production</t>
        </is>
      </c>
      <c r="M5" s="7" t="inlineStr">
        <is>
          <t>Medium</t>
        </is>
      </c>
      <c r="N5" s="6" t="inlineStr">
        <is>
          <t>2026-06-30</t>
        </is>
      </c>
      <c r="O5" s="6" t="inlineStr">
        <is>
          <t>2026-09-30</t>
        </is>
      </c>
      <c r="P5" s="6" t="inlineStr">
        <is>
          <t>Does not block payment automatically.</t>
        </is>
      </c>
    </row>
    <row r="6" ht="48" customHeight="1">
      <c r="A6" s="5" t="inlineStr">
        <is>
          <t>AI-005</t>
        </is>
      </c>
      <c r="B6" s="6" t="inlineStr">
        <is>
          <t>Security Log Triage Agent</t>
        </is>
      </c>
      <c r="C6" s="6" t="inlineStr">
        <is>
          <t>Prioritise security alerts and enrich cases</t>
        </is>
      </c>
      <c r="D6" s="6" t="inlineStr">
        <is>
          <t>AI agent</t>
        </is>
      </c>
      <c r="E6" s="6" t="inlineStr">
        <is>
          <t>Cybersecurity</t>
        </is>
      </c>
      <c r="F6" s="6" t="inlineStr">
        <is>
          <t>Security logs, alerts, asset metadata</t>
        </is>
      </c>
      <c r="G6" s="6" t="inlineStr">
        <is>
          <t>Private cloud</t>
        </is>
      </c>
      <c r="H6" s="6" t="inlineStr">
        <is>
          <t>SOC Manager</t>
        </is>
      </c>
      <c r="I6" s="6" t="inlineStr">
        <is>
          <t>Security analysts</t>
        </is>
      </c>
      <c r="J6" s="6" t="inlineStr">
        <is>
          <t>Operational</t>
        </is>
      </c>
      <c r="K6" s="6" t="inlineStr">
        <is>
          <t>Analyst approves containment</t>
        </is>
      </c>
      <c r="L6" s="6" t="inlineStr">
        <is>
          <t>Pilot</t>
        </is>
      </c>
      <c r="M6" s="8" t="inlineStr">
        <is>
          <t>High</t>
        </is>
      </c>
      <c r="N6" s="6" t="inlineStr">
        <is>
          <t>2026-08-05</t>
        </is>
      </c>
      <c r="O6" s="6" t="inlineStr">
        <is>
          <t>2026-09-05</t>
        </is>
      </c>
      <c r="P6" s="6" t="inlineStr">
        <is>
          <t>Tool access must use least privilege and full logging.</t>
        </is>
      </c>
    </row>
    <row r="7" ht="48" customHeight="1">
      <c r="A7" s="5" t="inlineStr">
        <is>
          <t>AI-006</t>
        </is>
      </c>
      <c r="B7" s="6" t="inlineStr">
        <is>
          <t>Meeting Transcription Assistant</t>
        </is>
      </c>
      <c r="C7" s="6" t="inlineStr">
        <is>
          <t>Create transcripts and meeting summaries</t>
        </is>
      </c>
      <c r="D7" s="6" t="inlineStr">
        <is>
          <t>Speech and generative AI</t>
        </is>
      </c>
      <c r="E7" s="6" t="inlineStr">
        <is>
          <t>Corporate Services</t>
        </is>
      </c>
      <c r="F7" s="6" t="inlineStr">
        <is>
          <t>Voice, transcript, participant names</t>
        </is>
      </c>
      <c r="G7" s="6" t="inlineStr">
        <is>
          <t>Cloud SaaS</t>
        </is>
      </c>
      <c r="H7" s="6" t="inlineStr">
        <is>
          <t>Collaboration Services Lead</t>
        </is>
      </c>
      <c r="I7" s="6" t="inlineStr">
        <is>
          <t>Employees</t>
        </is>
      </c>
      <c r="J7" s="6" t="inlineStr">
        <is>
          <t>Low</t>
        </is>
      </c>
      <c r="K7" s="6" t="inlineStr">
        <is>
          <t>User reviews summary</t>
        </is>
      </c>
      <c r="L7" s="6" t="inlineStr">
        <is>
          <t>Production</t>
        </is>
      </c>
      <c r="M7" s="9" t="inlineStr">
        <is>
          <t>Low</t>
        </is>
      </c>
      <c r="N7" s="6" t="inlineStr">
        <is>
          <t>2026-07-10</t>
        </is>
      </c>
      <c r="O7" s="6" t="inlineStr">
        <is>
          <t>2027-01-10</t>
        </is>
      </c>
      <c r="P7" s="6" t="inlineStr">
        <is>
          <t>Consent, retention and access settings must be clear.</t>
        </is>
      </c>
    </row>
  </sheetData>
  <autoFilter ref="A1:P7"/>
  <pageMargins left="0.75" right="0.75" top="1" bottom="1" header="0.5" footer="0.5"/>
  <pageSetup orientation="landscape" fitToHeight="0" fitToWidth="1"/>
  <headerFooter>
    <oddHeader/>
    <oddFooter>&amp;CAI Governance Portfolio | Synthetic demonstration data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45" customWidth="1" min="4" max="4"/>
    <col width="20" customWidth="1" min="5" max="5"/>
    <col width="24" customWidth="1" min="6" max="6"/>
    <col width="14" customWidth="1" min="7" max="7"/>
    <col width="12" customWidth="1" min="8" max="8"/>
    <col width="12" customWidth="1" min="9" max="9"/>
    <col width="44" customWidth="1" min="10" max="10"/>
    <col width="16" customWidth="1" min="11" max="11"/>
    <col width="14" customWidth="1" min="12" max="12"/>
    <col width="12" customWidth="1" min="13" max="13"/>
    <col width="12" customWidth="1" min="14" max="14"/>
    <col width="14" customWidth="1" min="15" max="15"/>
    <col width="24" customWidth="1" min="16" max="16"/>
    <col width="14" customWidth="1" min="17" max="17"/>
    <col width="42" customWidth="1" min="18" max="18"/>
    <col width="14" customWidth="1" min="19" max="19"/>
    <col width="14" customWidth="1" min="20" max="20"/>
    <col width="30" customWidth="1" min="21" max="21"/>
    <col width="35" customWidth="1" min="22" max="22"/>
  </cols>
  <sheetData>
    <row r="1" ht="40" customHeight="1">
      <c r="A1" s="4" t="inlineStr">
        <is>
          <t>Risk ID</t>
        </is>
      </c>
      <c r="B1" s="4" t="inlineStr">
        <is>
          <t>System ID</t>
        </is>
      </c>
      <c r="C1" s="4" t="inlineStr">
        <is>
          <t>AI System</t>
        </is>
      </c>
      <c r="D1" s="4" t="inlineStr">
        <is>
          <t>Risk Statement</t>
        </is>
      </c>
      <c r="E1" s="4" t="inlineStr">
        <is>
          <t>Category</t>
        </is>
      </c>
      <c r="F1" s="4" t="inlineStr">
        <is>
          <t>Affected Stakeholders</t>
        </is>
      </c>
      <c r="G1" s="4" t="inlineStr">
        <is>
          <t>Inherent Likelihood</t>
        </is>
      </c>
      <c r="H1" s="4" t="inlineStr">
        <is>
          <t>Inherent Impact</t>
        </is>
      </c>
      <c r="I1" s="4" t="inlineStr">
        <is>
          <t>Inherent Score</t>
        </is>
      </c>
      <c r="J1" s="4" t="inlineStr">
        <is>
          <t>Current Controls</t>
        </is>
      </c>
      <c r="K1" s="4" t="inlineStr">
        <is>
          <t>Control Effectiveness</t>
        </is>
      </c>
      <c r="L1" s="4" t="inlineStr">
        <is>
          <t>Residual Likelihood</t>
        </is>
      </c>
      <c r="M1" s="4" t="inlineStr">
        <is>
          <t>Residual Impact</t>
        </is>
      </c>
      <c r="N1" s="4" t="inlineStr">
        <is>
          <t>Residual Score</t>
        </is>
      </c>
      <c r="O1" s="4" t="inlineStr">
        <is>
          <t>Residual Rating</t>
        </is>
      </c>
      <c r="P1" s="4" t="inlineStr">
        <is>
          <t>Risk Owner</t>
        </is>
      </c>
      <c r="Q1" s="4" t="inlineStr">
        <is>
          <t>Treatment</t>
        </is>
      </c>
      <c r="R1" s="4" t="inlineStr">
        <is>
          <t>Action</t>
        </is>
      </c>
      <c r="S1" s="4" t="inlineStr">
        <is>
          <t>Target Date</t>
        </is>
      </c>
      <c r="T1" s="4" t="inlineStr">
        <is>
          <t>Status</t>
        </is>
      </c>
      <c r="U1" s="4" t="inlineStr">
        <is>
          <t>Evidence</t>
        </is>
      </c>
      <c r="V1" s="4" t="inlineStr">
        <is>
          <t>Framework Link</t>
        </is>
      </c>
    </row>
    <row r="2" ht="66" customHeight="1">
      <c r="A2" s="10" t="inlineStr">
        <is>
          <t>R-001</t>
        </is>
      </c>
      <c r="B2" s="11" t="inlineStr">
        <is>
          <t>AI-003</t>
        </is>
      </c>
      <c r="C2" s="11" t="inlineStr">
        <is>
          <t>Recruitment Screening Tool</t>
        </is>
      </c>
      <c r="D2" s="6" t="inlineStr">
        <is>
          <t>Biased ranking could disadvantage qualified candidates.</t>
        </is>
      </c>
      <c r="E2" s="10" t="inlineStr">
        <is>
          <t>Fairness</t>
        </is>
      </c>
      <c r="F2" s="6" t="inlineStr">
        <is>
          <t>Applicants, recruiters</t>
        </is>
      </c>
      <c r="G2" s="6" t="n">
        <v>4</v>
      </c>
      <c r="H2" s="6" t="n">
        <v>5</v>
      </c>
      <c r="I2" s="10">
        <f>G2*H2</f>
        <v/>
      </c>
      <c r="J2" s="6" t="inlineStr">
        <is>
          <t>Human review; periodic outcome testing; vendor documentation</t>
        </is>
      </c>
      <c r="K2" s="6" t="n">
        <v>3</v>
      </c>
      <c r="L2" s="6" t="n">
        <v>2</v>
      </c>
      <c r="M2" s="6" t="n">
        <v>4</v>
      </c>
      <c r="N2" s="10">
        <f>L2*M2</f>
        <v/>
      </c>
      <c r="O2" s="12">
        <f>IF(N2&gt;=15,"Critical",IF(N2&gt;=10,"High",IF(N2&gt;=5,"Medium","Low")))</f>
        <v/>
      </c>
      <c r="P2" s="6" t="inlineStr">
        <is>
          <t>Head of Talent Acquisition</t>
        </is>
      </c>
      <c r="Q2" s="6" t="inlineStr">
        <is>
          <t>Mitigate</t>
        </is>
      </c>
      <c r="R2" s="6" t="inlineStr">
        <is>
          <t>Complete independent bias test and define appeal route</t>
        </is>
      </c>
      <c r="S2" s="6" t="inlineStr">
        <is>
          <t>2026-09-15</t>
        </is>
      </c>
      <c r="T2" s="6" t="inlineStr">
        <is>
          <t>Open</t>
        </is>
      </c>
      <c r="U2" s="6" t="inlineStr">
        <is>
          <t>Bias test report; review records</t>
        </is>
      </c>
      <c r="V2" s="11" t="inlineStr">
        <is>
          <t>EU AI Act; NIST MAP/MEASURE; ISO 42001 impact assessment</t>
        </is>
      </c>
    </row>
    <row r="3" ht="66" customHeight="1">
      <c r="A3" s="10" t="inlineStr">
        <is>
          <t>R-002</t>
        </is>
      </c>
      <c r="B3" s="11" t="inlineStr">
        <is>
          <t>AI-001</t>
        </is>
      </c>
      <c r="C3" s="11" t="inlineStr">
        <is>
          <t>Microsoft 365 Copilot</t>
        </is>
      </c>
      <c r="D3" s="6" t="inlineStr">
        <is>
          <t>Sensitive content could be exposed through poor permissions or sharing.</t>
        </is>
      </c>
      <c r="E3" s="10" t="inlineStr">
        <is>
          <t>Privacy / Security</t>
        </is>
      </c>
      <c r="F3" s="6" t="inlineStr">
        <is>
          <t>Employees, clients</t>
        </is>
      </c>
      <c r="G3" s="6" t="n">
        <v>3</v>
      </c>
      <c r="H3" s="6" t="n">
        <v>5</v>
      </c>
      <c r="I3" s="10">
        <f>G3*H3</f>
        <v/>
      </c>
      <c r="J3" s="6" t="inlineStr">
        <is>
          <t>Tenant controls; sensitivity labels; access reviews</t>
        </is>
      </c>
      <c r="K3" s="6" t="n">
        <v>3</v>
      </c>
      <c r="L3" s="6" t="n">
        <v>2</v>
      </c>
      <c r="M3" s="6" t="n">
        <v>4</v>
      </c>
      <c r="N3" s="10">
        <f>L3*M3</f>
        <v/>
      </c>
      <c r="O3" s="12">
        <f>IF(N3&gt;=15,"Critical",IF(N3&gt;=10,"High",IF(N3&gt;=5,"Medium","Low")))</f>
        <v/>
      </c>
      <c r="P3" s="6" t="inlineStr">
        <is>
          <t>Digital Workplace Lead</t>
        </is>
      </c>
      <c r="Q3" s="6" t="inlineStr">
        <is>
          <t>Mitigate</t>
        </is>
      </c>
      <c r="R3" s="6" t="inlineStr">
        <is>
          <t>Review oversharing and high-risk repositories</t>
        </is>
      </c>
      <c r="S3" s="6" t="inlineStr">
        <is>
          <t>2026-10-01</t>
        </is>
      </c>
      <c r="T3" s="6" t="inlineStr">
        <is>
          <t>In Progress</t>
        </is>
      </c>
      <c r="U3" s="6" t="inlineStr">
        <is>
          <t>Access review; label policy; monitoring logs</t>
        </is>
      </c>
      <c r="V3" s="11" t="inlineStr">
        <is>
          <t>NIST GOVERN/MANAGE; ISO 42001 controls</t>
        </is>
      </c>
    </row>
    <row r="4" ht="66" customHeight="1">
      <c r="A4" s="10" t="inlineStr">
        <is>
          <t>R-003</t>
        </is>
      </c>
      <c r="B4" s="11" t="inlineStr">
        <is>
          <t>AI-002</t>
        </is>
      </c>
      <c r="C4" s="11" t="inlineStr">
        <is>
          <t>Customer Support Chatbot</t>
        </is>
      </c>
      <c r="D4" s="6" t="inlineStr">
        <is>
          <t>Incorrect answers could mislead customers or create service harm.</t>
        </is>
      </c>
      <c r="E4" s="10" t="inlineStr">
        <is>
          <t>Reliability</t>
        </is>
      </c>
      <c r="F4" s="6" t="inlineStr">
        <is>
          <t>Customers</t>
        </is>
      </c>
      <c r="G4" s="6" t="n">
        <v>4</v>
      </c>
      <c r="H4" s="6" t="n">
        <v>3</v>
      </c>
      <c r="I4" s="10">
        <f>G4*H4</f>
        <v/>
      </c>
      <c r="J4" s="6" t="inlineStr">
        <is>
          <t>Approved knowledge base; escalation; response monitoring</t>
        </is>
      </c>
      <c r="K4" s="6" t="n">
        <v>3</v>
      </c>
      <c r="L4" s="6" t="n">
        <v>2</v>
      </c>
      <c r="M4" s="6" t="n">
        <v>3</v>
      </c>
      <c r="N4" s="10">
        <f>L4*M4</f>
        <v/>
      </c>
      <c r="O4" s="12">
        <f>IF(N4&gt;=15,"Critical",IF(N4&gt;=10,"High",IF(N4&gt;=5,"Medium","Low")))</f>
        <v/>
      </c>
      <c r="P4" s="6" t="inlineStr">
        <is>
          <t>Customer Service Manager</t>
        </is>
      </c>
      <c r="Q4" s="6" t="inlineStr">
        <is>
          <t>Mitigate</t>
        </is>
      </c>
      <c r="R4" s="6" t="inlineStr">
        <is>
          <t>Add high-risk topic blocklist and quality sampling</t>
        </is>
      </c>
      <c r="S4" s="6" t="inlineStr">
        <is>
          <t>2026-09-30</t>
        </is>
      </c>
      <c r="T4" s="6" t="inlineStr">
        <is>
          <t>In Progress</t>
        </is>
      </c>
      <c r="U4" s="6" t="inlineStr">
        <is>
          <t>Sample results; escalation logs</t>
        </is>
      </c>
      <c r="V4" s="11" t="inlineStr">
        <is>
          <t>EU AI Act transparency; NIST MEASURE/MANAGE</t>
        </is>
      </c>
    </row>
    <row r="5" ht="66" customHeight="1">
      <c r="A5" s="10" t="inlineStr">
        <is>
          <t>R-004</t>
        </is>
      </c>
      <c r="B5" s="11" t="inlineStr">
        <is>
          <t>AI-005</t>
        </is>
      </c>
      <c r="C5" s="11" t="inlineStr">
        <is>
          <t>Security Log Triage Agent</t>
        </is>
      </c>
      <c r="D5" s="6" t="inlineStr">
        <is>
          <t>Excessive permissions could cause unintended system actions.</t>
        </is>
      </c>
      <c r="E5" s="10" t="inlineStr">
        <is>
          <t>Agentic / Security</t>
        </is>
      </c>
      <c r="F5" s="6" t="inlineStr">
        <is>
          <t>IT operations, customers</t>
        </is>
      </c>
      <c r="G5" s="6" t="n">
        <v>3</v>
      </c>
      <c r="H5" s="6" t="n">
        <v>5</v>
      </c>
      <c r="I5" s="10">
        <f>G5*H5</f>
        <v/>
      </c>
      <c r="J5" s="6" t="inlineStr">
        <is>
          <t>Least privilege; approval gate; action logging; sandbox</t>
        </is>
      </c>
      <c r="K5" s="6" t="n">
        <v>3</v>
      </c>
      <c r="L5" s="6" t="n">
        <v>2</v>
      </c>
      <c r="M5" s="6" t="n">
        <v>4</v>
      </c>
      <c r="N5" s="10">
        <f>L5*M5</f>
        <v/>
      </c>
      <c r="O5" s="12">
        <f>IF(N5&gt;=15,"Critical",IF(N5&gt;=10,"High",IF(N5&gt;=5,"Medium","Low")))</f>
        <v/>
      </c>
      <c r="P5" s="6" t="inlineStr">
        <is>
          <t>SOC Manager</t>
        </is>
      </c>
      <c r="Q5" s="6" t="inlineStr">
        <is>
          <t>Mitigate</t>
        </is>
      </c>
      <c r="R5" s="6" t="inlineStr">
        <is>
          <t>Test kill switch and quarterly permission review</t>
        </is>
      </c>
      <c r="S5" s="6" t="inlineStr">
        <is>
          <t>2026-09-05</t>
        </is>
      </c>
      <c r="T5" s="6" t="inlineStr">
        <is>
          <t>Open</t>
        </is>
      </c>
      <c r="U5" s="6" t="inlineStr">
        <is>
          <t>Permission review; test results; audit logs</t>
        </is>
      </c>
      <c r="V5" s="11" t="inlineStr">
        <is>
          <t>NIST MANAGE; ISO 42001 operational controls</t>
        </is>
      </c>
    </row>
    <row r="6" ht="66" customHeight="1">
      <c r="A6" s="10" t="inlineStr">
        <is>
          <t>R-005</t>
        </is>
      </c>
      <c r="B6" s="11" t="inlineStr">
        <is>
          <t>AI-004</t>
        </is>
      </c>
      <c r="C6" s="11" t="inlineStr">
        <is>
          <t>Invoice Anomaly Detector</t>
        </is>
      </c>
      <c r="D6" s="6" t="inlineStr">
        <is>
          <t>Model drift could reduce detection accuracy and delay valid payments.</t>
        </is>
      </c>
      <c r="E6" s="10" t="inlineStr">
        <is>
          <t>Performance</t>
        </is>
      </c>
      <c r="F6" s="6" t="inlineStr">
        <is>
          <t>Finance, suppliers</t>
        </is>
      </c>
      <c r="G6" s="6" t="n">
        <v>3</v>
      </c>
      <c r="H6" s="6" t="n">
        <v>3</v>
      </c>
      <c r="I6" s="10">
        <f>G6*H6</f>
        <v/>
      </c>
      <c r="J6" s="6" t="inlineStr">
        <is>
          <t>Monthly performance review; analyst validation</t>
        </is>
      </c>
      <c r="K6" s="6" t="n">
        <v>3</v>
      </c>
      <c r="L6" s="6" t="n">
        <v>2</v>
      </c>
      <c r="M6" s="6" t="n">
        <v>2</v>
      </c>
      <c r="N6" s="10">
        <f>L6*M6</f>
        <v/>
      </c>
      <c r="O6" s="12">
        <f>IF(N6&gt;=15,"Critical",IF(N6&gt;=10,"High",IF(N6&gt;=5,"Medium","Low")))</f>
        <v/>
      </c>
      <c r="P6" s="6" t="inlineStr">
        <is>
          <t>Finance Operations Lead</t>
        </is>
      </c>
      <c r="Q6" s="6" t="inlineStr">
        <is>
          <t>Monitor</t>
        </is>
      </c>
      <c r="R6" s="6" t="inlineStr">
        <is>
          <t>Define drift thresholds and retraining trigger</t>
        </is>
      </c>
      <c r="S6" s="6" t="inlineStr">
        <is>
          <t>2026-09-30</t>
        </is>
      </c>
      <c r="T6" s="6" t="inlineStr">
        <is>
          <t>Open</t>
        </is>
      </c>
      <c r="U6" s="6" t="inlineStr">
        <is>
          <t>Performance dashboard; validation records</t>
        </is>
      </c>
      <c r="V6" s="11" t="inlineStr">
        <is>
          <t>NIST MEASURE; ISO 42001 monitoring</t>
        </is>
      </c>
    </row>
    <row r="7" ht="66" customHeight="1">
      <c r="A7" s="10" t="inlineStr">
        <is>
          <t>R-006</t>
        </is>
      </c>
      <c r="B7" s="11" t="inlineStr">
        <is>
          <t>AI-006</t>
        </is>
      </c>
      <c r="C7" s="11" t="inlineStr">
        <is>
          <t>Meeting Transcription Assistant</t>
        </is>
      </c>
      <c r="D7" s="6" t="inlineStr">
        <is>
          <t>Transcripts could be retained or accessed beyond business need.</t>
        </is>
      </c>
      <c r="E7" s="10" t="inlineStr">
        <is>
          <t>Privacy</t>
        </is>
      </c>
      <c r="F7" s="6" t="inlineStr">
        <is>
          <t>Meeting participants</t>
        </is>
      </c>
      <c r="G7" s="6" t="n">
        <v>3</v>
      </c>
      <c r="H7" s="6" t="n">
        <v>4</v>
      </c>
      <c r="I7" s="10">
        <f>G7*H7</f>
        <v/>
      </c>
      <c r="J7" s="6" t="inlineStr">
        <is>
          <t>Restricted access; retention setting; user notification</t>
        </is>
      </c>
      <c r="K7" s="6" t="n">
        <v>3</v>
      </c>
      <c r="L7" s="6" t="n">
        <v>2</v>
      </c>
      <c r="M7" s="6" t="n">
        <v>3</v>
      </c>
      <c r="N7" s="10">
        <f>L7*M7</f>
        <v/>
      </c>
      <c r="O7" s="12">
        <f>IF(N7&gt;=15,"Critical",IF(N7&gt;=10,"High",IF(N7&gt;=5,"Medium","Low")))</f>
        <v/>
      </c>
      <c r="P7" s="6" t="inlineStr">
        <is>
          <t>Collaboration Services Lead</t>
        </is>
      </c>
      <c r="Q7" s="6" t="inlineStr">
        <is>
          <t>Mitigate</t>
        </is>
      </c>
      <c r="R7" s="6" t="inlineStr">
        <is>
          <t>Document consent and retention standard</t>
        </is>
      </c>
      <c r="S7" s="6" t="inlineStr">
        <is>
          <t>2026-10-15</t>
        </is>
      </c>
      <c r="T7" s="6" t="inlineStr">
        <is>
          <t>Open</t>
        </is>
      </c>
      <c r="U7" s="6" t="inlineStr">
        <is>
          <t>Retention policy; access logs</t>
        </is>
      </c>
      <c r="V7" s="11" t="inlineStr">
        <is>
          <t>UK privacy principle; ISO 42001 data controls</t>
        </is>
      </c>
    </row>
    <row r="8" ht="66" customHeight="1">
      <c r="A8" s="10" t="inlineStr">
        <is>
          <t>R-007</t>
        </is>
      </c>
      <c r="B8" s="11" t="inlineStr">
        <is>
          <t>AI-002</t>
        </is>
      </c>
      <c r="C8" s="11" t="inlineStr">
        <is>
          <t>Customer Support Chatbot</t>
        </is>
      </c>
      <c r="D8" s="6" t="inlineStr">
        <is>
          <t>Prompt injection could manipulate retrieval or reveal restricted content.</t>
        </is>
      </c>
      <c r="E8" s="10" t="inlineStr">
        <is>
          <t>Security</t>
        </is>
      </c>
      <c r="F8" s="6" t="inlineStr">
        <is>
          <t>Customers, organisation</t>
        </is>
      </c>
      <c r="G8" s="6" t="n">
        <v>4</v>
      </c>
      <c r="H8" s="6" t="n">
        <v>4</v>
      </c>
      <c r="I8" s="10">
        <f>G8*H8</f>
        <v/>
      </c>
      <c r="J8" s="6" t="inlineStr">
        <is>
          <t>Input filtering; scoped retrieval; red-team testing</t>
        </is>
      </c>
      <c r="K8" s="6" t="n">
        <v>2</v>
      </c>
      <c r="L8" s="6" t="n">
        <v>3</v>
      </c>
      <c r="M8" s="6" t="n">
        <v>4</v>
      </c>
      <c r="N8" s="10">
        <f>L8*M8</f>
        <v/>
      </c>
      <c r="O8" s="12">
        <f>IF(N8&gt;=15,"Critical",IF(N8&gt;=10,"High",IF(N8&gt;=5,"Medium","Low")))</f>
        <v/>
      </c>
      <c r="P8" s="6" t="inlineStr">
        <is>
          <t>Customer Service Manager</t>
        </is>
      </c>
      <c r="Q8" s="6" t="inlineStr">
        <is>
          <t>Mitigate</t>
        </is>
      </c>
      <c r="R8" s="6" t="inlineStr">
        <is>
          <t>Segment knowledge index and strengthen retrieval authorization</t>
        </is>
      </c>
      <c r="S8" s="6" t="inlineStr">
        <is>
          <t>2026-09-20</t>
        </is>
      </c>
      <c r="T8" s="6" t="inlineStr">
        <is>
          <t>Open</t>
        </is>
      </c>
      <c r="U8" s="6" t="inlineStr">
        <is>
          <t>Red-team report; retrieval logs</t>
        </is>
      </c>
      <c r="V8" s="11" t="inlineStr">
        <is>
          <t>NIST MANAGE; secure-by-design</t>
        </is>
      </c>
    </row>
    <row r="9" ht="66" customHeight="1">
      <c r="A9" s="10" t="inlineStr">
        <is>
          <t>R-008</t>
        </is>
      </c>
      <c r="B9" s="11" t="inlineStr">
        <is>
          <t>AI-001</t>
        </is>
      </c>
      <c r="C9" s="11" t="inlineStr">
        <is>
          <t>Microsoft 365 Copilot</t>
        </is>
      </c>
      <c r="D9" s="6" t="inlineStr">
        <is>
          <t>Users may rely on hallucinated or incomplete output without verification.</t>
        </is>
      </c>
      <c r="E9" s="10" t="inlineStr">
        <is>
          <t>Human Factors</t>
        </is>
      </c>
      <c r="F9" s="6" t="inlineStr">
        <is>
          <t>Employees, decision-makers</t>
        </is>
      </c>
      <c r="G9" s="6" t="n">
        <v>4</v>
      </c>
      <c r="H9" s="6" t="n">
        <v>3</v>
      </c>
      <c r="I9" s="10">
        <f>G9*H9</f>
        <v/>
      </c>
      <c r="J9" s="6" t="inlineStr">
        <is>
          <t>User guidance; citations; human review</t>
        </is>
      </c>
      <c r="K9" s="6" t="n">
        <v>2</v>
      </c>
      <c r="L9" s="6" t="n">
        <v>3</v>
      </c>
      <c r="M9" s="6" t="n">
        <v>3</v>
      </c>
      <c r="N9" s="10">
        <f>L9*M9</f>
        <v/>
      </c>
      <c r="O9" s="12">
        <f>IF(N9&gt;=15,"Critical",IF(N9&gt;=10,"High",IF(N9&gt;=5,"Medium","Low")))</f>
        <v/>
      </c>
      <c r="P9" s="6" t="inlineStr">
        <is>
          <t>Digital Workplace Lead</t>
        </is>
      </c>
      <c r="Q9" s="6" t="inlineStr">
        <is>
          <t>Mitigate</t>
        </is>
      </c>
      <c r="R9" s="6" t="inlineStr">
        <is>
          <t>Launch AI literacy module and verification checklist</t>
        </is>
      </c>
      <c r="S9" s="6" t="inlineStr">
        <is>
          <t>2026-09-30</t>
        </is>
      </c>
      <c r="T9" s="6" t="inlineStr">
        <is>
          <t>Open</t>
        </is>
      </c>
      <c r="U9" s="6" t="inlineStr">
        <is>
          <t>Training records; guidance document</t>
        </is>
      </c>
      <c r="V9" s="11" t="inlineStr">
        <is>
          <t>EU AI Act Article 4; NIST GOVERN</t>
        </is>
      </c>
    </row>
  </sheetData>
  <autoFilter ref="A1:V9"/>
  <conditionalFormatting sqref="O2:O50">
    <cfRule type="expression" priority="1" dxfId="0">
      <formula>$O2="Critical"</formula>
    </cfRule>
    <cfRule type="expression" priority="2" dxfId="1">
      <formula>$O2="High"</formula>
    </cfRule>
    <cfRule type="expression" priority="3" dxfId="2">
      <formula>$O2="Medium"</formula>
    </cfRule>
    <cfRule type="expression" priority="4" dxfId="3">
      <formula>$O2="Low"</formula>
    </cfRule>
  </conditionalFormatting>
  <dataValidations count="5">
    <dataValidation sqref="G2:H50" showDropDown="0" showInputMessage="0" showErrorMessage="0" allowBlank="1" type="list">
      <formula1>"1,2,3,4,5"</formula1>
    </dataValidation>
    <dataValidation sqref="L2:M50" showDropDown="0" showInputMessage="0" showErrorMessage="0" allowBlank="1" type="list">
      <formula1>"1,2,3,4,5"</formula1>
    </dataValidation>
    <dataValidation sqref="K2:K50" showDropDown="0" showInputMessage="0" showErrorMessage="0" allowBlank="1" type="list">
      <formula1>"1,2,3,4,5"</formula1>
    </dataValidation>
    <dataValidation sqref="T2:T50" showDropDown="0" showInputMessage="0" showErrorMessage="0" allowBlank="1" type="list">
      <formula1>"Open,In Progress,Closed,Accepted"</formula1>
    </dataValidation>
    <dataValidation sqref="Q2:Q50" showDropDown="0" showInputMessage="0" showErrorMessage="0" allowBlank="1" type="list">
      <formula1>"Mitigate,Avoid,Transfer,Accept,Monitor"</formula1>
    </dataValidation>
  </dataValidations>
  <pageMargins left="0.75" right="0.75" top="1" bottom="1" header="0.5" footer="0.5"/>
  <pageSetup orientation="landscape" fitToHeight="0" fitToWidth="1"/>
  <headerFooter>
    <oddHeader/>
    <oddFooter>&amp;CAI Governance Portfolio | Synthetic demonstration data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6" customWidth="1" min="3" max="3"/>
    <col width="36" customWidth="1" min="4" max="4"/>
    <col width="46" customWidth="1" min="5" max="5"/>
    <col width="14" customWidth="1" min="6" max="6"/>
    <col width="48" customWidth="1" min="7" max="7"/>
    <col width="25" customWidth="1" min="8" max="8"/>
    <col width="14" customWidth="1" min="9" max="9"/>
    <col width="14" customWidth="1" min="10" max="10"/>
    <col width="32" customWidth="1" min="11" max="11"/>
    <col width="36" customWidth="1" min="12" max="12"/>
  </cols>
  <sheetData>
    <row r="1" ht="40" customHeight="1">
      <c r="A1" s="4" t="inlineStr">
        <is>
          <t>Gap ID</t>
        </is>
      </c>
      <c r="B1" s="4" t="inlineStr">
        <is>
          <t>Governance Domain</t>
        </is>
      </c>
      <c r="C1" s="4" t="inlineStr">
        <is>
          <t>Current State</t>
        </is>
      </c>
      <c r="D1" s="4" t="inlineStr">
        <is>
          <t>Target State</t>
        </is>
      </c>
      <c r="E1" s="4" t="inlineStr">
        <is>
          <t>Gap / Finding</t>
        </is>
      </c>
      <c r="F1" s="4" t="inlineStr">
        <is>
          <t>Risk Priority</t>
        </is>
      </c>
      <c r="G1" s="4" t="inlineStr">
        <is>
          <t>Recommended Action</t>
        </is>
      </c>
      <c r="H1" s="4" t="inlineStr">
        <is>
          <t>Owner</t>
        </is>
      </c>
      <c r="I1" s="4" t="inlineStr">
        <is>
          <t>Target Date</t>
        </is>
      </c>
      <c r="J1" s="4" t="inlineStr">
        <is>
          <t>Status</t>
        </is>
      </c>
      <c r="K1" s="4" t="inlineStr">
        <is>
          <t>Evidence Required</t>
        </is>
      </c>
      <c r="L1" s="4" t="inlineStr">
        <is>
          <t>Framework Mapping</t>
        </is>
      </c>
    </row>
    <row r="2" ht="72" customHeight="1">
      <c r="A2" s="10" t="inlineStr">
        <is>
          <t>G-001</t>
        </is>
      </c>
      <c r="B2" s="10" t="inlineStr">
        <is>
          <t>AI Inventory</t>
        </is>
      </c>
      <c r="C2" s="6" t="inlineStr">
        <is>
          <t>Known tools listed manually</t>
        </is>
      </c>
      <c r="D2" s="6" t="inlineStr">
        <is>
          <t>Complete, owned, regularly reviewed inventory</t>
        </is>
      </c>
      <c r="E2" s="6" t="inlineStr">
        <is>
          <t>No formal discovery process for new or unapproved AI tools.</t>
        </is>
      </c>
      <c r="F2" s="8" t="inlineStr">
        <is>
          <t>High</t>
        </is>
      </c>
      <c r="G2" s="6" t="inlineStr">
        <is>
          <t>Establish intake process, quarterly attestation, and Shadow AI discovery review.</t>
        </is>
      </c>
      <c r="H2" s="6" t="inlineStr">
        <is>
          <t>AI Governance Lead</t>
        </is>
      </c>
      <c r="I2" s="6" t="inlineStr">
        <is>
          <t>2026-10-31</t>
        </is>
      </c>
      <c r="J2" s="6" t="inlineStr">
        <is>
          <t>Open</t>
        </is>
      </c>
      <c r="K2" s="6" t="inlineStr">
        <is>
          <t>Approved inventory; attestations; discovery report</t>
        </is>
      </c>
      <c r="L2" s="11" t="inlineStr">
        <is>
          <t>NIST GOVERN 1; ISO/IEC 42001 context and inventory</t>
        </is>
      </c>
    </row>
    <row r="3" ht="72" customHeight="1">
      <c r="A3" s="10" t="inlineStr">
        <is>
          <t>G-002</t>
        </is>
      </c>
      <c r="B3" s="10" t="inlineStr">
        <is>
          <t>Risk and Impact Assessment</t>
        </is>
      </c>
      <c r="C3" s="6" t="inlineStr">
        <is>
          <t>Assessments vary by project</t>
        </is>
      </c>
      <c r="D3" s="6" t="inlineStr">
        <is>
          <t>Consistent risk-based assessment before approval</t>
        </is>
      </c>
      <c r="E3" s="6" t="inlineStr">
        <is>
          <t>No standard AI impact assessment template or approval threshold.</t>
        </is>
      </c>
      <c r="F3" s="8" t="inlineStr">
        <is>
          <t>High</t>
        </is>
      </c>
      <c r="G3" s="6" t="inlineStr">
        <is>
          <t>Adopt one assessment covering purpose, stakeholders, data, rights, safety, security, and residual risk.</t>
        </is>
      </c>
      <c r="H3" s="6" t="inlineStr">
        <is>
          <t>Enterprise Risk Lead</t>
        </is>
      </c>
      <c r="I3" s="6" t="inlineStr">
        <is>
          <t>2026-09-30</t>
        </is>
      </c>
      <c r="J3" s="6" t="inlineStr">
        <is>
          <t>Open</t>
        </is>
      </c>
      <c r="K3" s="6" t="inlineStr">
        <is>
          <t>Completed AIIA; approval decision</t>
        </is>
      </c>
      <c r="L3" s="11" t="inlineStr">
        <is>
          <t>NIST MAP; EU AI Act risk-based approach</t>
        </is>
      </c>
    </row>
    <row r="4" ht="72" customHeight="1">
      <c r="A4" s="10" t="inlineStr">
        <is>
          <t>G-003</t>
        </is>
      </c>
      <c r="B4" s="10" t="inlineStr">
        <is>
          <t>Human Oversight</t>
        </is>
      </c>
      <c r="C4" s="6" t="inlineStr">
        <is>
          <t>Oversight exists but is not consistently documented</t>
        </is>
      </c>
      <c r="D4" s="6" t="inlineStr">
        <is>
          <t>Clearly defined HITL, HOTL, or HIC controls</t>
        </is>
      </c>
      <c r="E4" s="6" t="inlineStr">
        <is>
          <t>Override authority and escalation triggers are unclear for two high-impact systems.</t>
        </is>
      </c>
      <c r="F4" s="8" t="inlineStr">
        <is>
          <t>High</t>
        </is>
      </c>
      <c r="G4" s="6" t="inlineStr">
        <is>
          <t>Document oversight model, pause authority, escalation trigger, and appeal route.</t>
        </is>
      </c>
      <c r="H4" s="6" t="inlineStr">
        <is>
          <t>Business System Owners</t>
        </is>
      </c>
      <c r="I4" s="6" t="inlineStr">
        <is>
          <t>2026-09-30</t>
        </is>
      </c>
      <c r="J4" s="6" t="inlineStr">
        <is>
          <t>In Progress</t>
        </is>
      </c>
      <c r="K4" s="6" t="inlineStr">
        <is>
          <t>RACI; operating procedure; test record</t>
        </is>
      </c>
      <c r="L4" s="11" t="inlineStr">
        <is>
          <t>EU AI Act human oversight; OECD accountability</t>
        </is>
      </c>
    </row>
    <row r="5" ht="72" customHeight="1">
      <c r="A5" s="10" t="inlineStr">
        <is>
          <t>G-004</t>
        </is>
      </c>
      <c r="B5" s="10" t="inlineStr">
        <is>
          <t>Data Governance</t>
        </is>
      </c>
      <c r="C5" s="6" t="inlineStr">
        <is>
          <t>Existing security controls apply</t>
        </is>
      </c>
      <c r="D5" s="6" t="inlineStr">
        <is>
          <t>AI-specific provenance, quality, bias and retention controls</t>
        </is>
      </c>
      <c r="E5" s="6" t="inlineStr">
        <is>
          <t>Data lineage and quality evidence is incomplete for recruitment and chatbot sources.</t>
        </is>
      </c>
      <c r="F5" s="8" t="inlineStr">
        <is>
          <t>High</t>
        </is>
      </c>
      <c r="G5" s="6" t="inlineStr">
        <is>
          <t>Create source register, provenance checks, quality rules, and retention review.</t>
        </is>
      </c>
      <c r="H5" s="6" t="inlineStr">
        <is>
          <t>Data Governance Lead</t>
        </is>
      </c>
      <c r="I5" s="6" t="inlineStr">
        <is>
          <t>2026-10-15</t>
        </is>
      </c>
      <c r="J5" s="6" t="inlineStr">
        <is>
          <t>Open</t>
        </is>
      </c>
      <c r="K5" s="6" t="inlineStr">
        <is>
          <t>Data sheet; lineage; quality report</t>
        </is>
      </c>
      <c r="L5" s="11" t="inlineStr">
        <is>
          <t>EU AI Act data governance; NIST MAP/MEASURE</t>
        </is>
      </c>
    </row>
    <row r="6" ht="72" customHeight="1">
      <c r="A6" s="10" t="inlineStr">
        <is>
          <t>G-005</t>
        </is>
      </c>
      <c r="B6" s="10" t="inlineStr">
        <is>
          <t>Monitoring and Logging</t>
        </is>
      </c>
      <c r="C6" s="6" t="inlineStr">
        <is>
          <t>Technical logs exist</t>
        </is>
      </c>
      <c r="D6" s="6" t="inlineStr">
        <is>
          <t>Risk-based monitoring tied to incidents and thresholds</t>
        </is>
      </c>
      <c r="E6" s="6" t="inlineStr">
        <is>
          <t>No unified AI monitoring metrics or retained evidence standard.</t>
        </is>
      </c>
      <c r="F6" s="7" t="inlineStr">
        <is>
          <t>Medium</t>
        </is>
      </c>
      <c r="G6" s="6" t="inlineStr">
        <is>
          <t>Define performance, bias, security, drift, incident, and human-override metrics.</t>
        </is>
      </c>
      <c r="H6" s="6" t="inlineStr">
        <is>
          <t>AI Operations Lead</t>
        </is>
      </c>
      <c r="I6" s="6" t="inlineStr">
        <is>
          <t>2026-11-15</t>
        </is>
      </c>
      <c r="J6" s="6" t="inlineStr">
        <is>
          <t>Open</t>
        </is>
      </c>
      <c r="K6" s="6" t="inlineStr">
        <is>
          <t>Monitoring standard; dashboards; log samples</t>
        </is>
      </c>
      <c r="L6" s="11" t="inlineStr">
        <is>
          <t>NIST MEASURE/MANAGE; EU AI Act logging</t>
        </is>
      </c>
    </row>
    <row r="7" ht="72" customHeight="1">
      <c r="A7" s="10" t="inlineStr">
        <is>
          <t>G-006</t>
        </is>
      </c>
      <c r="B7" s="10" t="inlineStr">
        <is>
          <t>Third-Party AI</t>
        </is>
      </c>
      <c r="C7" s="6" t="inlineStr">
        <is>
          <t>General vendor process</t>
        </is>
      </c>
      <c r="D7" s="6" t="inlineStr">
        <is>
          <t>AI-specific due diligence and contract clauses</t>
        </is>
      </c>
      <c r="E7" s="6" t="inlineStr">
        <is>
          <t>Vendor reviews do not consistently cover training use, retention, model changes, and incident notice.</t>
        </is>
      </c>
      <c r="F7" s="8" t="inlineStr">
        <is>
          <t>High</t>
        </is>
      </c>
      <c r="G7" s="6" t="inlineStr">
        <is>
          <t>Add AI vendor checklist and minimum contractual safeguards.</t>
        </is>
      </c>
      <c r="H7" s="6" t="inlineStr">
        <is>
          <t>Procurement Lead</t>
        </is>
      </c>
      <c r="I7" s="6" t="inlineStr">
        <is>
          <t>2026-10-31</t>
        </is>
      </c>
      <c r="J7" s="6" t="inlineStr">
        <is>
          <t>Open</t>
        </is>
      </c>
      <c r="K7" s="6" t="inlineStr">
        <is>
          <t>Vendor assessment; contract clauses</t>
        </is>
      </c>
      <c r="L7" s="11" t="inlineStr">
        <is>
          <t>NIST GOVERN; ISO/IEC 42001 supplier controls</t>
        </is>
      </c>
    </row>
    <row r="8" ht="72" customHeight="1">
      <c r="A8" s="10" t="inlineStr">
        <is>
          <t>G-007</t>
        </is>
      </c>
      <c r="B8" s="10" t="inlineStr">
        <is>
          <t>AI Literacy</t>
        </is>
      </c>
      <c r="C8" s="6" t="inlineStr">
        <is>
          <t>Informal awareness</t>
        </is>
      </c>
      <c r="D8" s="6" t="inlineStr">
        <is>
          <t>Role-based training and competence records</t>
        </is>
      </c>
      <c r="E8" s="6" t="inlineStr">
        <is>
          <t>Users lack consistent guidance on verification, sensitive data, and escalation.</t>
        </is>
      </c>
      <c r="F8" s="7" t="inlineStr">
        <is>
          <t>Medium</t>
        </is>
      </c>
      <c r="G8" s="6" t="inlineStr">
        <is>
          <t>Launch role-based AI literacy and maintain completion evidence.</t>
        </is>
      </c>
      <c r="H8" s="6" t="inlineStr">
        <is>
          <t>Learning and Development Lead</t>
        </is>
      </c>
      <c r="I8" s="6" t="inlineStr">
        <is>
          <t>2026-10-15</t>
        </is>
      </c>
      <c r="J8" s="6" t="inlineStr">
        <is>
          <t>Open</t>
        </is>
      </c>
      <c r="K8" s="6" t="inlineStr">
        <is>
          <t>Training material; attendance; assessment results</t>
        </is>
      </c>
      <c r="L8" s="11" t="inlineStr">
        <is>
          <t>EU AI Act Article 4; ISO/IEC 42001 competence</t>
        </is>
      </c>
    </row>
    <row r="9" ht="72" customHeight="1">
      <c r="A9" s="10" t="inlineStr">
        <is>
          <t>G-008</t>
        </is>
      </c>
      <c r="B9" s="10" t="inlineStr">
        <is>
          <t>Incident Response</t>
        </is>
      </c>
      <c r="C9" s="6" t="inlineStr">
        <is>
          <t>Cyber incident process exists</t>
        </is>
      </c>
      <c r="D9" s="6" t="inlineStr">
        <is>
          <t>AI incident playbook integrated with governance feedback</t>
        </is>
      </c>
      <c r="E9" s="6" t="inlineStr">
        <is>
          <t>AI-specific containment, evidence preservation, and retraining decisions are undefined.</t>
        </is>
      </c>
      <c r="F9" s="8" t="inlineStr">
        <is>
          <t>High</t>
        </is>
      </c>
      <c r="G9" s="6" t="inlineStr">
        <is>
          <t>Create AI incident playbook and test through a tabletop exercise.</t>
        </is>
      </c>
      <c r="H9" s="6" t="inlineStr">
        <is>
          <t>CISO / AI Governance Lead</t>
        </is>
      </c>
      <c r="I9" s="6" t="inlineStr">
        <is>
          <t>2026-11-30</t>
        </is>
      </c>
      <c r="J9" s="6" t="inlineStr">
        <is>
          <t>Open</t>
        </is>
      </c>
      <c r="K9" s="6" t="inlineStr">
        <is>
          <t>Playbook; exercise record; lessons learned</t>
        </is>
      </c>
      <c r="L9" s="11" t="inlineStr">
        <is>
          <t>NIST MANAGE; ISO/IEC 42001 improvement</t>
        </is>
      </c>
    </row>
  </sheetData>
  <autoFilter ref="A1:L9"/>
  <pageMargins left="0.75" right="0.75" top="1" bottom="1" header="0.5" footer="0.5"/>
  <pageSetup orientation="landscape" fitToHeight="0" fitToWidth="1"/>
  <headerFooter>
    <oddHeader/>
    <oddFooter>&amp;CAI Governance Portfolio | Synthetic demonstration data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Executive Summary Dashboard</t>
        </is>
      </c>
    </row>
    <row r="2"/>
    <row r="3">
      <c r="A3" s="13" t="inlineStr">
        <is>
          <t>Portfolio demonstration using synthetic data</t>
        </is>
      </c>
    </row>
    <row r="5">
      <c r="A5" s="14" t="inlineStr">
        <is>
          <t>Total AI Systems</t>
        </is>
      </c>
      <c r="D5" s="15" t="inlineStr">
        <is>
          <t>High-Risk Systems</t>
        </is>
      </c>
      <c r="G5" s="16" t="inlineStr">
        <is>
          <t>Open Risks</t>
        </is>
      </c>
      <c r="J5" s="17" t="inlineStr">
        <is>
          <t>High-Priority Gaps</t>
        </is>
      </c>
    </row>
    <row r="6">
      <c r="A6" s="18">
        <f>COUNTA('AI Inventory'!A2:A100)</f>
        <v/>
      </c>
      <c r="D6" s="18">
        <f>COUNTIF('AI Inventory'!M2:M100,"High")</f>
        <v/>
      </c>
      <c r="G6" s="18">
        <f>COUNTIF('AI Risk Register'!T2:T100,"Open")</f>
        <v/>
      </c>
      <c r="J6" s="18">
        <f>COUNTIF('Gap Assessment'!F2:F100,"High")</f>
        <v/>
      </c>
    </row>
    <row r="7"/>
    <row r="10">
      <c r="A10" s="4" t="inlineStr">
        <is>
          <t>Risk Tier</t>
        </is>
      </c>
      <c r="B10" s="4" t="inlineStr">
        <is>
          <t>Count</t>
        </is>
      </c>
      <c r="D10" s="4" t="inlineStr">
        <is>
          <t>Gap Priority</t>
        </is>
      </c>
      <c r="E10" s="4" t="inlineStr">
        <is>
          <t>Count</t>
        </is>
      </c>
      <c r="G10" s="4" t="inlineStr">
        <is>
          <t>Residual Rating</t>
        </is>
      </c>
      <c r="H10" s="4" t="inlineStr">
        <is>
          <t>Count</t>
        </is>
      </c>
      <c r="J10" s="4" t="inlineStr">
        <is>
          <t>Risk Status</t>
        </is>
      </c>
      <c r="K10" s="4" t="inlineStr">
        <is>
          <t>Count</t>
        </is>
      </c>
    </row>
    <row r="11">
      <c r="A11" t="inlineStr">
        <is>
          <t>High</t>
        </is>
      </c>
      <c r="B11">
        <f>COUNTIF('AI Inventory'!M:M,A11)</f>
        <v/>
      </c>
      <c r="D11" t="inlineStr">
        <is>
          <t>High</t>
        </is>
      </c>
      <c r="E11">
        <f>COUNTIF('Gap Assessment'!F:F,D11)</f>
        <v/>
      </c>
      <c r="G11" t="inlineStr">
        <is>
          <t>Critical</t>
        </is>
      </c>
      <c r="H11">
        <f>COUNTIF('AI Risk Register'!O:O,G11)</f>
        <v/>
      </c>
      <c r="J11" t="inlineStr">
        <is>
          <t>Open</t>
        </is>
      </c>
      <c r="K11">
        <f>COUNTIF('AI Risk Register'!T:T,J11)</f>
        <v/>
      </c>
    </row>
    <row r="12">
      <c r="A12" t="inlineStr">
        <is>
          <t>Medium</t>
        </is>
      </c>
      <c r="B12">
        <f>COUNTIF('AI Inventory'!M:M,A12)</f>
        <v/>
      </c>
      <c r="D12" t="inlineStr">
        <is>
          <t>Medium</t>
        </is>
      </c>
      <c r="E12">
        <f>COUNTIF('Gap Assessment'!F:F,D12)</f>
        <v/>
      </c>
      <c r="G12" t="inlineStr">
        <is>
          <t>High</t>
        </is>
      </c>
      <c r="H12">
        <f>COUNTIF('AI Risk Register'!O:O,G12)</f>
        <v/>
      </c>
      <c r="J12" t="inlineStr">
        <is>
          <t>In Progress</t>
        </is>
      </c>
      <c r="K12">
        <f>COUNTIF('AI Risk Register'!T:T,J12)</f>
        <v/>
      </c>
    </row>
    <row r="13">
      <c r="A13" t="inlineStr">
        <is>
          <t>Low</t>
        </is>
      </c>
      <c r="B13">
        <f>COUNTIF('AI Inventory'!M:M,A13)</f>
        <v/>
      </c>
      <c r="D13" t="inlineStr">
        <is>
          <t>Low</t>
        </is>
      </c>
      <c r="E13">
        <f>COUNTIF('Gap Assessment'!F:F,D13)</f>
        <v/>
      </c>
      <c r="G13" t="inlineStr">
        <is>
          <t>Medium</t>
        </is>
      </c>
      <c r="H13">
        <f>COUNTIF('AI Risk Register'!O:O,G13)</f>
        <v/>
      </c>
      <c r="J13" t="inlineStr">
        <is>
          <t>Closed</t>
        </is>
      </c>
      <c r="K13">
        <f>COUNTIF('AI Risk Register'!T:T,J13)</f>
        <v/>
      </c>
    </row>
    <row r="14">
      <c r="G14" t="inlineStr">
        <is>
          <t>Low</t>
        </is>
      </c>
      <c r="H14">
        <f>COUNTIF('AI Risk Register'!O:O,G14)</f>
        <v/>
      </c>
      <c r="J14" t="inlineStr">
        <is>
          <t>Accepted</t>
        </is>
      </c>
      <c r="K14">
        <f>COUNTIF('AI Risk Register'!T:T,J14)</f>
        <v/>
      </c>
    </row>
    <row r="47">
      <c r="A47" s="19" t="inlineStr">
        <is>
          <t>Management priorities</t>
        </is>
      </c>
    </row>
    <row r="48">
      <c r="A48" s="20" t="inlineStr">
        <is>
          <t>1. Formalise AI intake, inventory ownership and Shadow AI discovery.</t>
        </is>
      </c>
    </row>
    <row r="49">
      <c r="A49" s="20" t="inlineStr">
        <is>
          <t>2. Complete impact and bias assessment for the recruitment screening pilot.</t>
        </is>
      </c>
    </row>
    <row r="50">
      <c r="A50" s="20" t="inlineStr">
        <is>
          <t>3. Define human oversight, pause authority and escalation triggers for high-impact systems.</t>
        </is>
      </c>
    </row>
    <row r="51">
      <c r="A51" s="20" t="inlineStr">
        <is>
          <t>4. Strengthen provenance, quality and access controls for AI knowledge sources.</t>
        </is>
      </c>
    </row>
    <row r="52">
      <c r="A52" s="20" t="inlineStr">
        <is>
          <t>5. Launch role-based AI literacy and an AI incident response tabletop exercise.</t>
        </is>
      </c>
    </row>
  </sheetData>
  <mergeCells count="14">
    <mergeCell ref="J5:L5"/>
    <mergeCell ref="A6:C7"/>
    <mergeCell ref="G6:I7"/>
    <mergeCell ref="D6:F7"/>
    <mergeCell ref="J6:L7"/>
    <mergeCell ref="A52:L52"/>
    <mergeCell ref="D5:F5"/>
    <mergeCell ref="A5:C5"/>
    <mergeCell ref="G5:I5"/>
    <mergeCell ref="A49:L49"/>
    <mergeCell ref="A51:L51"/>
    <mergeCell ref="A1:L2"/>
    <mergeCell ref="A50:L50"/>
    <mergeCell ref="A48:L48"/>
  </mergeCells>
  <pageMargins left="0.75" right="0.75" top="1" bottom="1" header="0.5" footer="0.5"/>
  <pageSetup orientation="landscape" fitToHeight="0" fitToWidth="1"/>
  <headerFooter>
    <oddHeader/>
    <oddFooter>&amp;CAI Governance Portfolio | Synthetic demonstration data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30" customWidth="1" min="3" max="3"/>
    <col width="34" customWidth="1" min="4" max="4"/>
    <col width="24" customWidth="1" min="5" max="5"/>
    <col width="34" customWidth="1" min="6" max="6"/>
  </cols>
  <sheetData>
    <row r="1" ht="35" customHeight="1">
      <c r="A1" s="4" t="inlineStr">
        <is>
          <t>Project Activity</t>
        </is>
      </c>
      <c r="B1" s="4" t="inlineStr">
        <is>
          <t>NIST AI RMF</t>
        </is>
      </c>
      <c r="C1" s="4" t="inlineStr">
        <is>
          <t>ISO/IEC 42001</t>
        </is>
      </c>
      <c r="D1" s="4" t="inlineStr">
        <is>
          <t>EU AI Act</t>
        </is>
      </c>
      <c r="E1" s="4" t="inlineStr">
        <is>
          <t>UK Principles</t>
        </is>
      </c>
      <c r="F1" s="4" t="inlineStr">
        <is>
          <t>Portfolio Evidence</t>
        </is>
      </c>
    </row>
    <row r="2" ht="55" customHeight="1">
      <c r="A2" s="21" t="inlineStr">
        <is>
          <t>Maintain AI inventory</t>
        </is>
      </c>
      <c r="B2" s="21" t="inlineStr">
        <is>
          <t>GOVERN; MAP</t>
        </is>
      </c>
      <c r="C2" s="21" t="inlineStr">
        <is>
          <t>AI management system scope, roles, operational planning</t>
        </is>
      </c>
      <c r="D2" s="21" t="inlineStr">
        <is>
          <t>Supports classification and provider/deployer obligations</t>
        </is>
      </c>
      <c r="E2" s="21" t="inlineStr">
        <is>
          <t>Accountability</t>
        </is>
      </c>
      <c r="F2" s="21" t="inlineStr">
        <is>
          <t>AI Inventory Register</t>
        </is>
      </c>
    </row>
    <row r="3" ht="55" customHeight="1">
      <c r="A3" s="21" t="inlineStr">
        <is>
          <t>Assess risks and impacts</t>
        </is>
      </c>
      <c r="B3" s="21" t="inlineStr">
        <is>
          <t>MAP; MEASURE</t>
        </is>
      </c>
      <c r="C3" s="21" t="inlineStr">
        <is>
          <t>AI risk and impact assessment</t>
        </is>
      </c>
      <c r="D3" s="21" t="inlineStr">
        <is>
          <t>Risk-based classification; high-risk requirements</t>
        </is>
      </c>
      <c r="E3" s="21" t="inlineStr">
        <is>
          <t>Safety; fairness</t>
        </is>
      </c>
      <c r="F3" s="21" t="inlineStr">
        <is>
          <t>AI Risk Register and AIIA evidence</t>
        </is>
      </c>
    </row>
    <row r="4" ht="55" customHeight="1">
      <c r="A4" s="21" t="inlineStr">
        <is>
          <t>Define controls and treatment</t>
        </is>
      </c>
      <c r="B4" s="21" t="inlineStr">
        <is>
          <t>GOVERN; MANAGE</t>
        </is>
      </c>
      <c r="C4" s="21" t="inlineStr">
        <is>
          <t>Risk treatment and operational controls</t>
        </is>
      </c>
      <c r="D4" s="21" t="inlineStr">
        <is>
          <t>Risk management, data, logging, transparency, human oversight</t>
        </is>
      </c>
      <c r="E4" s="21" t="inlineStr">
        <is>
          <t>Safety; accountability</t>
        </is>
      </c>
      <c r="F4" s="21" t="inlineStr">
        <is>
          <t>Control descriptions and treatment actions</t>
        </is>
      </c>
    </row>
    <row r="5" ht="55" customHeight="1">
      <c r="A5" s="21" t="inlineStr">
        <is>
          <t>Monitor performance and incidents</t>
        </is>
      </c>
      <c r="B5" s="21" t="inlineStr">
        <is>
          <t>MEASURE; MANAGE</t>
        </is>
      </c>
      <c r="C5" s="21" t="inlineStr">
        <is>
          <t>Performance evaluation, internal audit, improvement</t>
        </is>
      </c>
      <c r="D5" s="21" t="inlineStr">
        <is>
          <t>Post-market monitoring, logging, incident duties</t>
        </is>
      </c>
      <c r="E5" s="21" t="inlineStr">
        <is>
          <t>Safety; contestability</t>
        </is>
      </c>
      <c r="F5" s="21" t="inlineStr">
        <is>
          <t>Monitoring logs and incident records</t>
        </is>
      </c>
    </row>
    <row r="6" ht="55" customHeight="1">
      <c r="A6" s="21" t="inlineStr">
        <is>
          <t>Report to leadership</t>
        </is>
      </c>
      <c r="B6" s="21" t="inlineStr">
        <is>
          <t>GOVERN</t>
        </is>
      </c>
      <c r="C6" s="21" t="inlineStr">
        <is>
          <t>Leadership, objectives, management review</t>
        </is>
      </c>
      <c r="D6" s="21" t="inlineStr">
        <is>
          <t>Demonstrates accountability and compliance oversight</t>
        </is>
      </c>
      <c r="E6" s="21" t="inlineStr">
        <is>
          <t>Accountability; transparency</t>
        </is>
      </c>
      <c r="F6" s="21" t="inlineStr">
        <is>
          <t>Executive Summary Dashboard</t>
        </is>
      </c>
    </row>
    <row r="9">
      <c r="A9" s="22" t="inlineStr">
        <is>
          <t>Reference sources (official framework pages)</t>
        </is>
      </c>
    </row>
    <row r="10">
      <c r="A10" s="23" t="inlineStr">
        <is>
          <t>https://www.nist.gov/itl/ai-risk-management-framework</t>
        </is>
      </c>
    </row>
    <row r="11">
      <c r="A11" s="23" t="inlineStr">
        <is>
          <t>https://www.iso.org/standard/81230.html</t>
        </is>
      </c>
    </row>
    <row r="12">
      <c r="A12" s="23" t="inlineStr">
        <is>
          <t>https://artificialintelligenceact.eu/</t>
        </is>
      </c>
    </row>
    <row r="13">
      <c r="A13" s="23" t="inlineStr">
        <is>
          <t>https://www.gov.uk/government/publications/ai-regulation-a-pro-innovation-approach</t>
        </is>
      </c>
    </row>
  </sheetData>
  <hyperlinks>
    <hyperlink xmlns:r="http://schemas.openxmlformats.org/officeDocument/2006/relationships" ref="A10" r:id="rId1"/>
    <hyperlink xmlns:r="http://schemas.openxmlformats.org/officeDocument/2006/relationships" ref="A11" r:id="rId2"/>
    <hyperlink xmlns:r="http://schemas.openxmlformats.org/officeDocument/2006/relationships" ref="A12" r:id="rId3"/>
    <hyperlink xmlns:r="http://schemas.openxmlformats.org/officeDocument/2006/relationships" ref="A13" r:id="rId4"/>
  </hyperlinks>
  <pageMargins left="0.75" right="0.75" top="1" bottom="1" header="0.5" footer="0.5"/>
  <pageSetup orientation="landscape" fitToHeight="0" fitToWidth="1"/>
  <headerFooter>
    <oddHeader/>
    <oddFooter>&amp;CAI Governance Portfolio | Synthetic demonstration data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Augustine Tetteh Ozor</dc:creator>
  <dcterms:created xsi:type="dcterms:W3CDTF">2026-08-25T20:36:36.0665883Z</dcterms:created>
  <dcterms:modified xsi:type="dcterms:W3CDTF">2026-08-25T20:36:36.0665883Z</dcterms:modified>
  <lastModifiedBy>Augustine Tetteh Ozor</lastModifiedBy>
</coreProperties>
</file>